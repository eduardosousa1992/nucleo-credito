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es" sheetId="1" state="visible" r:id="rId3"/>
    <sheet name="Contratos" sheetId="2" state="visible" r:id="rId4"/>
    <sheet name="Leads" sheetId="3" state="visible" r:id="rId5"/>
    <sheet name="Dashboard KP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<sst xmlns="http://schemas.openxmlformats.org/spreadsheetml/2006/main" count="168" uniqueCount="132">
  <si>
    <t xml:space="preserve">⚛  NÚCLEO CRÉDITO — BASE DE CLIENTES</t>
  </si>
  <si>
    <t xml:space="preserve">No centro da sua vida financeira.</t>
  </si>
  <si>
    <t xml:space="preserve">ID</t>
  </si>
  <si>
    <t xml:space="preserve">Nome Completo</t>
  </si>
  <si>
    <t xml:space="preserve">CPF</t>
  </si>
  <si>
    <t xml:space="preserve">Data Nasc.</t>
  </si>
  <si>
    <t xml:space="preserve">Idade</t>
  </si>
  <si>
    <t xml:space="preserve">Telefone</t>
  </si>
  <si>
    <t xml:space="preserve">Benefício INSS (R$)</t>
  </si>
  <si>
    <t xml:space="preserve">Margem Consignável (R$)</t>
  </si>
  <si>
    <t xml:space="preserve">Parcelas Ativas (R$)</t>
  </si>
  <si>
    <t xml:space="preserve">Margem Disponível (R$)</t>
  </si>
  <si>
    <t xml:space="preserve">Status</t>
  </si>
  <si>
    <t xml:space="preserve">Canal Origem</t>
  </si>
  <si>
    <t xml:space="preserve">Data Cadastro</t>
  </si>
  <si>
    <t xml:space="preserve">Observações</t>
  </si>
  <si>
    <t xml:space="preserve">C001</t>
  </si>
  <si>
    <t xml:space="preserve">Maria Aparecida dos Santos</t>
  </si>
  <si>
    <t xml:space="preserve">123.456.789-01</t>
  </si>
  <si>
    <t xml:space="preserve">(89) 99801-1234</t>
  </si>
  <si>
    <t xml:space="preserve">Ativo</t>
  </si>
  <si>
    <t xml:space="preserve">Panfletagem</t>
  </si>
  <si>
    <t xml:space="preserve">Aposentada por idade — INSS</t>
  </si>
  <si>
    <t xml:space="preserve">C002</t>
  </si>
  <si>
    <t xml:space="preserve">José Raimundo Sousa Lima</t>
  </si>
  <si>
    <t xml:space="preserve">234.567.890-12</t>
  </si>
  <si>
    <t xml:space="preserve">(89) 99802-5678</t>
  </si>
  <si>
    <t xml:space="preserve">Rádio</t>
  </si>
  <si>
    <t xml:space="preserve">Pensionista — viúvo — margem parcial</t>
  </si>
  <si>
    <t xml:space="preserve">C003</t>
  </si>
  <si>
    <t xml:space="preserve">Antonia Ferreira Mendes</t>
  </si>
  <si>
    <t xml:space="preserve">345.678.901-23</t>
  </si>
  <si>
    <t xml:space="preserve">(89) 99803-9012</t>
  </si>
  <si>
    <t xml:space="preserve">Lead Quente</t>
  </si>
  <si>
    <t xml:space="preserve">WhatsApp</t>
  </si>
  <si>
    <t xml:space="preserve">Servidora municipal — margem virgem</t>
  </si>
  <si>
    <t xml:space="preserve">C004</t>
  </si>
  <si>
    <t xml:space="preserve">Francisco das Chagas Oliveira</t>
  </si>
  <si>
    <t xml:space="preserve">456.789.012-34</t>
  </si>
  <si>
    <t xml:space="preserve">(89) 99804-3456</t>
  </si>
  <si>
    <t xml:space="preserve">Em análise</t>
  </si>
  <si>
    <t xml:space="preserve">Indicação</t>
  </si>
  <si>
    <t xml:space="preserve">Aposentado — margem esgotada — portabilidade</t>
  </si>
  <si>
    <t xml:space="preserve">C005</t>
  </si>
  <si>
    <t xml:space="preserve">Raimunda Alves Costa</t>
  </si>
  <si>
    <t xml:space="preserve">567.890.123-45</t>
  </si>
  <si>
    <t xml:space="preserve">(89) 99805-7890</t>
  </si>
  <si>
    <t xml:space="preserve">Google</t>
  </si>
  <si>
    <t xml:space="preserve">Pensionista — filha indicou após busca no Google</t>
  </si>
  <si>
    <t xml:space="preserve">TOTAIS / MÉDIAS</t>
  </si>
  <si>
    <t xml:space="preserve">LEGENDA:</t>
  </si>
  <si>
    <t xml:space="preserve">Verde = Margem disponível &gt; R$ 300 (OPORTUNIDADE)</t>
  </si>
  <si>
    <t xml:space="preserve">Vermelho = Sem margem disponível</t>
  </si>
  <si>
    <t xml:space="preserve">⚛  NÚCLEO CRÉDITO — CONTRATOS ATIVOS</t>
  </si>
  <si>
    <t xml:space="preserve">ID Contrato</t>
  </si>
  <si>
    <t xml:space="preserve">ID Cliente</t>
  </si>
  <si>
    <t xml:space="preserve">Nome Cliente</t>
  </si>
  <si>
    <t xml:space="preserve">Banco</t>
  </si>
  <si>
    <t xml:space="preserve">Valor Contratado (R$)</t>
  </si>
  <si>
    <t xml:space="preserve">Parcelas Total</t>
  </si>
  <si>
    <t xml:space="preserve">Parcelas Pagas</t>
  </si>
  <si>
    <t xml:space="preserve">Parcelas Restantes</t>
  </si>
  <si>
    <t xml:space="preserve">Valor Parcela (R$)</t>
  </si>
  <si>
    <t xml:space="preserve">Data Início</t>
  </si>
  <si>
    <t xml:space="preserve">Data Término</t>
  </si>
  <si>
    <t xml:space="preserve">Comissão Est. (R$)</t>
  </si>
  <si>
    <t xml:space="preserve">CT001</t>
  </si>
  <si>
    <t xml:space="preserve">Banco BMG</t>
  </si>
  <si>
    <t xml:space="preserve">CT002</t>
  </si>
  <si>
    <t xml:space="preserve">Banco Safra</t>
  </si>
  <si>
    <t xml:space="preserve">CT003</t>
  </si>
  <si>
    <t xml:space="preserve">Banco PAN</t>
  </si>
  <si>
    <t xml:space="preserve">CT004</t>
  </si>
  <si>
    <t xml:space="preserve">CT005</t>
  </si>
  <si>
    <t xml:space="preserve">Caixa</t>
  </si>
  <si>
    <t xml:space="preserve">TOTAIS</t>
  </si>
  <si>
    <t xml:space="preserve">⚛  NÚCLEO CRÉDITO — PIPELINE DE LEADS</t>
  </si>
  <si>
    <t xml:space="preserve">ID Lead</t>
  </si>
  <si>
    <t xml:space="preserve">Nome</t>
  </si>
  <si>
    <t xml:space="preserve">Data Contato</t>
  </si>
  <si>
    <t xml:space="preserve">Benefício Informado (R$)</t>
  </si>
  <si>
    <t xml:space="preserve">Interesse</t>
  </si>
  <si>
    <t xml:space="preserve">Data Conversão</t>
  </si>
  <si>
    <t xml:space="preserve">L001</t>
  </si>
  <si>
    <t xml:space="preserve">João Batista Rocha</t>
  </si>
  <si>
    <t xml:space="preserve">(89)99811-1111</t>
  </si>
  <si>
    <t xml:space="preserve">Consignado INSS</t>
  </si>
  <si>
    <t xml:space="preserve">Convertido</t>
  </si>
  <si>
    <t xml:space="preserve">Converteu em C001 no dia seguinte</t>
  </si>
  <si>
    <t xml:space="preserve">L002</t>
  </si>
  <si>
    <t xml:space="preserve">Conceição Rodrigues</t>
  </si>
  <si>
    <t xml:space="preserve">(89)99822-2222</t>
  </si>
  <si>
    <t xml:space="preserve">Ouviu spot manhã — ligou no mesmo dia</t>
  </si>
  <si>
    <t xml:space="preserve">L003</t>
  </si>
  <si>
    <t xml:space="preserve">Severino Gonçalves</t>
  </si>
  <si>
    <t xml:space="preserve">(89)99833-3333</t>
  </si>
  <si>
    <t xml:space="preserve">Portabilidade</t>
  </si>
  <si>
    <t xml:space="preserve">Em negociação</t>
  </si>
  <si>
    <t xml:space="preserve">Tem contrato BMG a 2.2% — verificar portabilidade</t>
  </si>
  <si>
    <t xml:space="preserve">L004</t>
  </si>
  <si>
    <t xml:space="preserve">Terezinha Moura</t>
  </si>
  <si>
    <t xml:space="preserve">(89)99844-4444</t>
  </si>
  <si>
    <t xml:space="preserve">Indicada por C002 — margem a verificar</t>
  </si>
  <si>
    <t xml:space="preserve">L005</t>
  </si>
  <si>
    <t xml:space="preserve">Benedito Souza</t>
  </si>
  <si>
    <t xml:space="preserve">(89)99855-5555</t>
  </si>
  <si>
    <t xml:space="preserve">Instagram</t>
  </si>
  <si>
    <t xml:space="preserve">Cartão Consignado</t>
  </si>
  <si>
    <t xml:space="preserve">Novo</t>
  </si>
  <si>
    <t xml:space="preserve">Filho enviou mensagem perguntando sobre opções</t>
  </si>
  <si>
    <t xml:space="preserve">RESUMO DO PIPELINE</t>
  </si>
  <si>
    <t xml:space="preserve">Total de Leads</t>
  </si>
  <si>
    <t xml:space="preserve">Convertidos</t>
  </si>
  <si>
    <t xml:space="preserve">Em Negociação</t>
  </si>
  <si>
    <t xml:space="preserve">Taxa Conversão</t>
  </si>
  <si>
    <t xml:space="preserve">⚛  NÚCLEO CRÉDITO — DASHBOARD DE PERFORMANCE</t>
  </si>
  <si>
    <t xml:space="preserve">No centro da sua vida financeira.  |  (11) 95272-3015  |  @nucleocredito</t>
  </si>
  <si>
    <t xml:space="preserve">TOTAL CLIENTES</t>
  </si>
  <si>
    <t xml:space="preserve">CONTRATOS ATIVOS</t>
  </si>
  <si>
    <t xml:space="preserve">CARTEIRA TOTAL (R$)</t>
  </si>
  <si>
    <t xml:space="preserve">COMISSÕES EST. (R$)</t>
  </si>
  <si>
    <t xml:space="preserve">LEADS TOTAL</t>
  </si>
  <si>
    <t xml:space="preserve">TAXA CONVERSÃO</t>
  </si>
  <si>
    <t xml:space="preserve">MARGEM DISPONÍVEL</t>
  </si>
  <si>
    <t xml:space="preserve">🔔  ALERTAS DE OPORTUNIDADE — CLIENTES COM MARGEM DISPONÍVEL</t>
  </si>
  <si>
    <t xml:space="preserve">Cliente</t>
  </si>
  <si>
    <t xml:space="preserve">Benefício (R$)</t>
  </si>
  <si>
    <t xml:space="preserve">Ação Recomendada</t>
  </si>
  <si>
    <t xml:space="preserve">📊  PERFORMANCE POR CANAL DE AQUISIÇÃO</t>
  </si>
  <si>
    <t xml:space="preserve">Canal</t>
  </si>
  <si>
    <t xml:space="preserve">Leads Gerados</t>
  </si>
  <si>
    <t xml:space="preserve">⚛  Núcleo Crédito  |  No centro da sua vida financeira.  |  (11) 95272-3015  |  Atualizado em: 11/06/2026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</si>
</sst>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&quot;R$ &quot;#,##0.00"/>
    <numFmt numFmtId="167" formatCode="General"/>
    <numFmt numFmtId="168" formatCode="0.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B3A6B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1A7A5E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1"/>
      <color rgb="FF1A7A5E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856404"/>
      <name val="Arial"/>
      <family val="0"/>
      <charset val="1"/>
    </font>
    <font>
      <b val="true"/>
      <sz val="11"/>
      <color rgb="FF0C546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B3A6B"/>
      <name val="Arial"/>
      <family val="0"/>
      <charset val="1"/>
    </font>
    <font>
      <b val="true"/>
      <sz val="9"/>
      <color rgb="FF1A7A5E"/>
      <name val="Arial"/>
      <family val="0"/>
      <charset val="1"/>
    </font>
    <font>
      <b val="true"/>
      <sz val="9"/>
      <color rgb="FFC0392B"/>
      <name val="Arial"/>
      <family val="0"/>
      <charset val="1"/>
    </font>
    <font>
      <sz val="10"/>
      <color rgb="FF1B3A6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1B3A6B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8"/>
      <color rgb="FF1B3A6B"/>
      <name val="Arial"/>
      <family val="0"/>
      <charset val="1"/>
    </font>
    <font>
      <b val="true"/>
      <sz val="18"/>
      <color rgb="FF1A7A5E"/>
      <name val="Arial"/>
      <family val="0"/>
      <charset val="1"/>
    </font>
    <font>
      <b val="true"/>
      <sz val="10"/>
      <color rgb="FF1A7A5E"/>
      <name val="Arial"/>
      <family val="0"/>
      <charset val="1"/>
    </font>
    <font>
      <i val="true"/>
      <sz val="9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1A7A5E"/>
        <bgColor rgb="FF339966"/>
      </patternFill>
    </fill>
    <fill>
      <patternFill patternType="solid">
        <fgColor rgb="FFEBF0F8"/>
        <bgColor rgb="FFE8F5F0"/>
      </patternFill>
    </fill>
    <fill>
      <patternFill patternType="solid">
        <fgColor rgb="FFE8F5F0"/>
        <bgColor rgb="FFEBF0F8"/>
      </patternFill>
    </fill>
    <fill>
      <patternFill patternType="solid">
        <fgColor rgb="FFFDECEA"/>
        <bgColor rgb="FFFFF9E6"/>
      </patternFill>
    </fill>
    <fill>
      <patternFill patternType="solid">
        <fgColor rgb="FFFFFFFF"/>
        <bgColor rgb="FFFFF9E6"/>
      </patternFill>
    </fill>
    <fill>
      <patternFill patternType="solid">
        <fgColor rgb="FFFFF3CD"/>
        <bgColor rgb="FFFFF9E6"/>
      </patternFill>
    </fill>
    <fill>
      <patternFill patternType="solid">
        <fgColor rgb="FFD1ECF1"/>
        <bgColor rgb="FFE8F5F0"/>
      </patternFill>
    </fill>
    <fill>
      <patternFill patternType="solid">
        <fgColor rgb="FFFFF9E6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AAAAAA"/>
      </left>
      <right style="medium">
        <color rgb="FFAAAAAA"/>
      </right>
      <top style="medium">
        <color rgb="FFAAAAA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1A7A5E"/>
      <rgbColor rgb="FFCCCCCC"/>
      <rgbColor rgb="FF808080"/>
      <rgbColor rgb="FF9999FF"/>
      <rgbColor rgb="FF993366"/>
      <rgbColor rgb="FFFFF3CD"/>
      <rgbColor rgb="FFD1EC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C5460"/>
      <rgbColor rgb="FF0000FF"/>
      <rgbColor rgb="FF00CCFF"/>
      <rgbColor rgb="FFE8F5F0"/>
      <rgbColor rgb="FFEBF0F8"/>
      <rgbColor rgb="FFFFF9E6"/>
      <rgbColor rgb="FF99CCFF"/>
      <rgbColor rgb="FFFF99CC"/>
      <rgbColor rgb="FFCC99FF"/>
      <rgbColor rgb="FFFDECEA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B3A6B"/>
      <rgbColor rgb="FF339966"/>
      <rgbColor rgb="FF003300"/>
      <rgbColor rgb="FF333300"/>
      <rgbColor rgb="FFC0392B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8"/>
    <col collapsed="false" customWidth="true" hidden="false" outlineLevel="0" max="10" min="7" style="0" width="22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9.5" hidden="false" customHeight="true" outlineLevel="0" collapsed="false">
      <c r="A5" s="4" t="s">
        <v>16</v>
      </c>
      <c r="B5" s="5" t="s">
        <v>17</v>
      </c>
      <c r="C5" s="6" t="s">
        <v>18</v>
      </c>
      <c r="D5" s="7" t="n">
        <v>21256</v>
      </c>
      <c r="E5" s="4" t="n">
        <f aca="true">DATEDIF(D5,TODAY(),"Y")</f>
        <v>68</v>
      </c>
      <c r="F5" s="8" t="s">
        <v>19</v>
      </c>
      <c r="G5" s="9" t="n">
        <v>1412</v>
      </c>
      <c r="H5" s="10" t="n">
        <f aca="false">G5*0.4</f>
        <v>564.8</v>
      </c>
      <c r="I5" s="9" t="n">
        <v>320</v>
      </c>
      <c r="J5" s="11" t="n">
        <f aca="false">H5-I5</f>
        <v>244.8</v>
      </c>
      <c r="K5" s="12" t="s">
        <v>20</v>
      </c>
      <c r="L5" s="6" t="s">
        <v>21</v>
      </c>
      <c r="M5" s="7" t="n">
        <v>46175</v>
      </c>
      <c r="N5" s="13" t="s">
        <v>22</v>
      </c>
    </row>
    <row r="6" customFormat="false" ht="19.5" hidden="false" customHeight="true" outlineLevel="0" collapsed="false">
      <c r="A6" s="14" t="s">
        <v>23</v>
      </c>
      <c r="B6" s="15" t="s">
        <v>24</v>
      </c>
      <c r="C6" s="16" t="s">
        <v>25</v>
      </c>
      <c r="D6" s="17" t="n">
        <v>19200</v>
      </c>
      <c r="E6" s="14" t="n">
        <f aca="true">DATEDIF(D6,TODAY(),"Y")</f>
        <v>73</v>
      </c>
      <c r="F6" s="18" t="s">
        <v>26</v>
      </c>
      <c r="G6" s="19" t="n">
        <v>1754</v>
      </c>
      <c r="H6" s="10" t="n">
        <f aca="false">G6*0.4</f>
        <v>701.6</v>
      </c>
      <c r="I6" s="19" t="n">
        <v>580</v>
      </c>
      <c r="J6" s="11" t="n">
        <f aca="false">H6-I6</f>
        <v>121.6</v>
      </c>
      <c r="K6" s="12" t="s">
        <v>20</v>
      </c>
      <c r="L6" s="16" t="s">
        <v>27</v>
      </c>
      <c r="M6" s="17" t="n">
        <v>46178</v>
      </c>
      <c r="N6" s="20" t="s">
        <v>28</v>
      </c>
    </row>
    <row r="7" customFormat="false" ht="19.5" hidden="false" customHeight="true" outlineLevel="0" collapsed="false">
      <c r="A7" s="4" t="s">
        <v>29</v>
      </c>
      <c r="B7" s="5" t="s">
        <v>30</v>
      </c>
      <c r="C7" s="6" t="s">
        <v>31</v>
      </c>
      <c r="D7" s="7" t="n">
        <v>24054</v>
      </c>
      <c r="E7" s="4" t="n">
        <f aca="true">DATEDIF(D7,TODAY(),"Y")</f>
        <v>60</v>
      </c>
      <c r="F7" s="8" t="s">
        <v>32</v>
      </c>
      <c r="G7" s="9" t="n">
        <v>2118</v>
      </c>
      <c r="H7" s="10" t="n">
        <f aca="false">G7*0.4</f>
        <v>847.2</v>
      </c>
      <c r="I7" s="9" t="n">
        <v>0</v>
      </c>
      <c r="J7" s="21" t="n">
        <f aca="false">H7-I7</f>
        <v>847.2</v>
      </c>
      <c r="K7" s="22" t="s">
        <v>33</v>
      </c>
      <c r="L7" s="6" t="s">
        <v>34</v>
      </c>
      <c r="M7" s="7" t="n">
        <v>46181</v>
      </c>
      <c r="N7" s="13" t="s">
        <v>35</v>
      </c>
    </row>
    <row r="8" customFormat="false" ht="19.5" hidden="false" customHeight="true" outlineLevel="0" collapsed="false">
      <c r="A8" s="14" t="s">
        <v>36</v>
      </c>
      <c r="B8" s="15" t="s">
        <v>37</v>
      </c>
      <c r="C8" s="16" t="s">
        <v>38</v>
      </c>
      <c r="D8" s="17" t="n">
        <v>18018</v>
      </c>
      <c r="E8" s="14" t="n">
        <f aca="true">DATEDIF(D8,TODAY(),"Y")</f>
        <v>77</v>
      </c>
      <c r="F8" s="18" t="s">
        <v>39</v>
      </c>
      <c r="G8" s="19" t="n">
        <v>1320</v>
      </c>
      <c r="H8" s="10" t="n">
        <f aca="false">G8*0.4</f>
        <v>528</v>
      </c>
      <c r="I8" s="19" t="n">
        <v>528</v>
      </c>
      <c r="J8" s="11" t="n">
        <f aca="false">H8-I8</f>
        <v>0</v>
      </c>
      <c r="K8" s="23" t="s">
        <v>40</v>
      </c>
      <c r="L8" s="16" t="s">
        <v>41</v>
      </c>
      <c r="M8" s="17" t="n">
        <v>46183</v>
      </c>
      <c r="N8" s="20" t="s">
        <v>42</v>
      </c>
    </row>
    <row r="9" customFormat="false" ht="19.5" hidden="false" customHeight="true" outlineLevel="0" collapsed="false">
      <c r="A9" s="4" t="s">
        <v>43</v>
      </c>
      <c r="B9" s="5" t="s">
        <v>44</v>
      </c>
      <c r="C9" s="6" t="s">
        <v>45</v>
      </c>
      <c r="D9" s="7" t="n">
        <v>22176</v>
      </c>
      <c r="E9" s="4" t="n">
        <f aca="true">DATEDIF(D9,TODAY(),"Y")</f>
        <v>65</v>
      </c>
      <c r="F9" s="8" t="s">
        <v>46</v>
      </c>
      <c r="G9" s="9" t="n">
        <v>1980</v>
      </c>
      <c r="H9" s="10" t="n">
        <f aca="false">G9*0.4</f>
        <v>792</v>
      </c>
      <c r="I9" s="9" t="n">
        <v>450</v>
      </c>
      <c r="J9" s="21" t="n">
        <f aca="false">H9-I9</f>
        <v>342</v>
      </c>
      <c r="K9" s="12" t="s">
        <v>20</v>
      </c>
      <c r="L9" s="6" t="s">
        <v>47</v>
      </c>
      <c r="M9" s="7" t="n">
        <v>46184</v>
      </c>
      <c r="N9" s="13" t="s">
        <v>48</v>
      </c>
    </row>
    <row r="10" customFormat="false" ht="21.75" hidden="false" customHeight="true" outlineLevel="0" collapsed="false">
      <c r="A10" s="24" t="s">
        <v>49</v>
      </c>
      <c r="B10" s="24"/>
      <c r="C10" s="24"/>
      <c r="D10" s="24"/>
      <c r="E10" s="24"/>
      <c r="F10" s="24"/>
      <c r="G10" s="25" t="n">
        <f aca="false">SUM(G5:G9)</f>
        <v>8584</v>
      </c>
      <c r="H10" s="25" t="n">
        <f aca="false">SUM(H5:H9)</f>
        <v>3433.6</v>
      </c>
      <c r="I10" s="25" t="n">
        <f aca="false">SUM(I5:I9)</f>
        <v>1878</v>
      </c>
      <c r="J10" s="25" t="n">
        <f aca="false">SUM(J5:J9)</f>
        <v>1555.6</v>
      </c>
      <c r="K10" s="26"/>
      <c r="L10" s="26"/>
      <c r="M10" s="26"/>
      <c r="N10" s="26"/>
    </row>
    <row r="12" customFormat="false" ht="18" hidden="false" customHeight="true" outlineLevel="0" collapsed="false">
      <c r="A12" s="27" t="s">
        <v>50</v>
      </c>
      <c r="B12" s="28" t="s">
        <v>51</v>
      </c>
      <c r="F12" s="29" t="s">
        <v>52</v>
      </c>
    </row>
  </sheetData>
  <mergeCells count="3">
    <mergeCell ref="A1:N1"/>
    <mergeCell ref="A2:N2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7" min="6" style="0" width="16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1" min="10" style="0" width="14"/>
    <col collapsed="false" customWidth="true" hidden="false" outlineLevel="0" max="12" min="12" style="0" width="20"/>
  </cols>
  <sheetData>
    <row r="1" customFormat="false" ht="30" hidden="false" customHeight="true" outlineLevel="0" collapsed="false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6" hidden="false" customHeight="true" outlineLevel="0" collapsed="false"/>
    <row r="4" customFormat="false" ht="27.75" hidden="false" customHeight="true" outlineLevel="0" collapsed="false">
      <c r="A4" s="30" t="s">
        <v>54</v>
      </c>
      <c r="B4" s="30" t="s">
        <v>55</v>
      </c>
      <c r="C4" s="30" t="s">
        <v>56</v>
      </c>
      <c r="D4" s="30" t="s">
        <v>57</v>
      </c>
      <c r="E4" s="30" t="s">
        <v>58</v>
      </c>
      <c r="F4" s="30" t="s">
        <v>59</v>
      </c>
      <c r="G4" s="30" t="s">
        <v>60</v>
      </c>
      <c r="H4" s="30" t="s">
        <v>61</v>
      </c>
      <c r="I4" s="30" t="s">
        <v>62</v>
      </c>
      <c r="J4" s="30" t="s">
        <v>63</v>
      </c>
      <c r="K4" s="30" t="s">
        <v>64</v>
      </c>
      <c r="L4" s="30" t="s">
        <v>65</v>
      </c>
    </row>
    <row r="5" customFormat="false" ht="19.5" hidden="false" customHeight="true" outlineLevel="0" collapsed="false">
      <c r="A5" s="4" t="s">
        <v>66</v>
      </c>
      <c r="B5" s="4" t="s">
        <v>16</v>
      </c>
      <c r="C5" s="31" t="s">
        <v>17</v>
      </c>
      <c r="D5" s="31" t="s">
        <v>67</v>
      </c>
      <c r="E5" s="9" t="n">
        <v>4500</v>
      </c>
      <c r="F5" s="6" t="n">
        <v>36</v>
      </c>
      <c r="G5" s="6" t="n">
        <v>8</v>
      </c>
      <c r="H5" s="32" t="n">
        <f aca="false">F5-G5</f>
        <v>28</v>
      </c>
      <c r="I5" s="9" t="n">
        <f aca="false">IFERROR(E5/F5,0)</f>
        <v>125</v>
      </c>
      <c r="J5" s="7" t="n">
        <v>45931</v>
      </c>
      <c r="K5" s="33" t="n">
        <f aca="false">IFERROR(EDATE(J5,F5),"")</f>
        <v>47027</v>
      </c>
      <c r="L5" s="21" t="n">
        <f aca="false">E5*0.03</f>
        <v>135</v>
      </c>
    </row>
    <row r="6" customFormat="false" ht="19.5" hidden="false" customHeight="true" outlineLevel="0" collapsed="false">
      <c r="A6" s="14" t="s">
        <v>68</v>
      </c>
      <c r="B6" s="14" t="s">
        <v>16</v>
      </c>
      <c r="C6" s="34" t="s">
        <v>17</v>
      </c>
      <c r="D6" s="34" t="s">
        <v>69</v>
      </c>
      <c r="E6" s="19" t="n">
        <v>3200</v>
      </c>
      <c r="F6" s="16" t="n">
        <v>24</v>
      </c>
      <c r="G6" s="16" t="n">
        <v>12</v>
      </c>
      <c r="H6" s="32" t="n">
        <f aca="false">F6-G6</f>
        <v>12</v>
      </c>
      <c r="I6" s="19" t="n">
        <f aca="false">IFERROR(E6/F6,0)</f>
        <v>133.333333333333</v>
      </c>
      <c r="J6" s="17" t="n">
        <v>45689</v>
      </c>
      <c r="K6" s="33" t="n">
        <f aca="false">IFERROR(EDATE(J6,F6),"")</f>
        <v>46419</v>
      </c>
      <c r="L6" s="21" t="n">
        <f aca="false">E6*0.03</f>
        <v>96</v>
      </c>
    </row>
    <row r="7" customFormat="false" ht="19.5" hidden="false" customHeight="true" outlineLevel="0" collapsed="false">
      <c r="A7" s="4" t="s">
        <v>70</v>
      </c>
      <c r="B7" s="4" t="s">
        <v>23</v>
      </c>
      <c r="C7" s="31" t="s">
        <v>24</v>
      </c>
      <c r="D7" s="31" t="s">
        <v>71</v>
      </c>
      <c r="E7" s="9" t="n">
        <v>8000</v>
      </c>
      <c r="F7" s="6" t="n">
        <v>60</v>
      </c>
      <c r="G7" s="6" t="n">
        <v>6</v>
      </c>
      <c r="H7" s="32" t="n">
        <f aca="false">F7-G7</f>
        <v>54</v>
      </c>
      <c r="I7" s="9" t="n">
        <f aca="false">IFERROR(E7/F7,0)</f>
        <v>133.333333333333</v>
      </c>
      <c r="J7" s="7" t="n">
        <v>46023</v>
      </c>
      <c r="K7" s="33" t="n">
        <f aca="false">IFERROR(EDATE(J7,F7),"")</f>
        <v>47849</v>
      </c>
      <c r="L7" s="21" t="n">
        <f aca="false">E7*0.03</f>
        <v>240</v>
      </c>
    </row>
    <row r="8" customFormat="false" ht="19.5" hidden="false" customHeight="true" outlineLevel="0" collapsed="false">
      <c r="A8" s="14" t="s">
        <v>72</v>
      </c>
      <c r="B8" s="14" t="s">
        <v>29</v>
      </c>
      <c r="C8" s="34" t="s">
        <v>30</v>
      </c>
      <c r="D8" s="34" t="s">
        <v>67</v>
      </c>
      <c r="E8" s="19" t="n">
        <v>0</v>
      </c>
      <c r="F8" s="16" t="n">
        <v>0</v>
      </c>
      <c r="G8" s="16" t="n">
        <v>0</v>
      </c>
      <c r="H8" s="32" t="n">
        <f aca="false">F8-G8</f>
        <v>0</v>
      </c>
      <c r="I8" s="19" t="n">
        <f aca="false">IFERROR(E8/F8,0)</f>
        <v>0</v>
      </c>
      <c r="J8" s="17"/>
      <c r="K8" s="33" t="n">
        <f aca="false">IFERROR(EDATE(J8,F8),"")</f>
        <v>0</v>
      </c>
      <c r="L8" s="21" t="n">
        <f aca="false">E8*0.03</f>
        <v>0</v>
      </c>
    </row>
    <row r="9" customFormat="false" ht="19.5" hidden="false" customHeight="true" outlineLevel="0" collapsed="false">
      <c r="A9" s="4" t="s">
        <v>73</v>
      </c>
      <c r="B9" s="4" t="s">
        <v>43</v>
      </c>
      <c r="C9" s="31" t="s">
        <v>44</v>
      </c>
      <c r="D9" s="31" t="s">
        <v>74</v>
      </c>
      <c r="E9" s="9" t="n">
        <v>6200</v>
      </c>
      <c r="F9" s="6" t="n">
        <v>48</v>
      </c>
      <c r="G9" s="6" t="n">
        <v>10</v>
      </c>
      <c r="H9" s="32" t="n">
        <f aca="false">F9-G9</f>
        <v>38</v>
      </c>
      <c r="I9" s="9" t="n">
        <f aca="false">IFERROR(E9/F9,0)</f>
        <v>129.166666666667</v>
      </c>
      <c r="J9" s="7" t="n">
        <v>45901</v>
      </c>
      <c r="K9" s="33" t="n">
        <f aca="false">IFERROR(EDATE(J9,F9),"")</f>
        <v>47362</v>
      </c>
      <c r="L9" s="21" t="n">
        <f aca="false">E9*0.03</f>
        <v>186</v>
      </c>
    </row>
    <row r="10" customFormat="false" ht="21.75" hidden="false" customHeight="true" outlineLevel="0" collapsed="false">
      <c r="A10" s="35" t="s">
        <v>75</v>
      </c>
      <c r="B10" s="35"/>
      <c r="C10" s="35"/>
      <c r="D10" s="35"/>
      <c r="E10" s="25" t="n">
        <f aca="false">SUM(E5:E9)</f>
        <v>21900</v>
      </c>
      <c r="F10" s="26"/>
      <c r="G10" s="26"/>
      <c r="H10" s="26"/>
      <c r="I10" s="26"/>
      <c r="J10" s="26"/>
      <c r="K10" s="26"/>
      <c r="L10" s="25" t="n">
        <f aca="false">SUM(L5:L9)</f>
        <v>657</v>
      </c>
    </row>
  </sheetData>
  <mergeCells count="3">
    <mergeCell ref="A1:L1"/>
    <mergeCell ref="A2:L2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22"/>
    <col collapsed="false" customWidth="true" hidden="false" outlineLevel="0" max="9" min="8" style="0" width="16"/>
    <col collapsed="false" customWidth="true" hidden="false" outlineLevel="0" max="10" min="10" style="0" width="32"/>
  </cols>
  <sheetData>
    <row r="1" customFormat="false" ht="30" hidden="false" customHeight="true" outlineLevel="0" collapsed="false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6" hidden="false" customHeight="true" outlineLevel="0" collapsed="false"/>
    <row r="4" customFormat="false" ht="27.75" hidden="false" customHeight="true" outlineLevel="0" collapsed="false">
      <c r="A4" s="30" t="s">
        <v>77</v>
      </c>
      <c r="B4" s="30" t="s">
        <v>78</v>
      </c>
      <c r="C4" s="30" t="s">
        <v>7</v>
      </c>
      <c r="D4" s="30" t="s">
        <v>13</v>
      </c>
      <c r="E4" s="30" t="s">
        <v>79</v>
      </c>
      <c r="F4" s="30" t="s">
        <v>80</v>
      </c>
      <c r="G4" s="30" t="s">
        <v>81</v>
      </c>
      <c r="H4" s="30" t="s">
        <v>12</v>
      </c>
      <c r="I4" s="30" t="s">
        <v>82</v>
      </c>
      <c r="J4" s="30" t="s">
        <v>15</v>
      </c>
    </row>
    <row r="5" customFormat="false" ht="19.5" hidden="false" customHeight="true" outlineLevel="0" collapsed="false">
      <c r="A5" s="36" t="s">
        <v>83</v>
      </c>
      <c r="B5" s="37" t="s">
        <v>84</v>
      </c>
      <c r="C5" s="38" t="s">
        <v>85</v>
      </c>
      <c r="D5" s="39" t="s">
        <v>21</v>
      </c>
      <c r="E5" s="40" t="n">
        <v>46174</v>
      </c>
      <c r="F5" s="41" t="n">
        <v>1412</v>
      </c>
      <c r="G5" s="39" t="s">
        <v>86</v>
      </c>
      <c r="H5" s="12" t="s">
        <v>87</v>
      </c>
      <c r="I5" s="40" t="n">
        <v>46175</v>
      </c>
      <c r="J5" s="42" t="s">
        <v>88</v>
      </c>
    </row>
    <row r="6" customFormat="false" ht="19.5" hidden="false" customHeight="true" outlineLevel="0" collapsed="false">
      <c r="A6" s="14" t="s">
        <v>89</v>
      </c>
      <c r="B6" s="15" t="s">
        <v>90</v>
      </c>
      <c r="C6" s="18" t="s">
        <v>91</v>
      </c>
      <c r="D6" s="16" t="s">
        <v>27</v>
      </c>
      <c r="E6" s="17" t="n">
        <v>46176</v>
      </c>
      <c r="F6" s="19" t="n">
        <v>1754</v>
      </c>
      <c r="G6" s="16" t="s">
        <v>86</v>
      </c>
      <c r="H6" s="12" t="s">
        <v>87</v>
      </c>
      <c r="I6" s="17" t="n">
        <v>46178</v>
      </c>
      <c r="J6" s="20" t="s">
        <v>92</v>
      </c>
    </row>
    <row r="7" customFormat="false" ht="19.5" hidden="false" customHeight="true" outlineLevel="0" collapsed="false">
      <c r="A7" s="36" t="s">
        <v>93</v>
      </c>
      <c r="B7" s="37" t="s">
        <v>94</v>
      </c>
      <c r="C7" s="38" t="s">
        <v>95</v>
      </c>
      <c r="D7" s="39" t="s">
        <v>34</v>
      </c>
      <c r="E7" s="40" t="n">
        <v>46179</v>
      </c>
      <c r="F7" s="41" t="n">
        <v>2118</v>
      </c>
      <c r="G7" s="39" t="s">
        <v>96</v>
      </c>
      <c r="H7" s="22" t="s">
        <v>97</v>
      </c>
      <c r="I7" s="39"/>
      <c r="J7" s="42" t="s">
        <v>98</v>
      </c>
    </row>
    <row r="8" customFormat="false" ht="19.5" hidden="false" customHeight="true" outlineLevel="0" collapsed="false">
      <c r="A8" s="14" t="s">
        <v>99</v>
      </c>
      <c r="B8" s="15" t="s">
        <v>100</v>
      </c>
      <c r="C8" s="18" t="s">
        <v>101</v>
      </c>
      <c r="D8" s="16" t="s">
        <v>41</v>
      </c>
      <c r="E8" s="17" t="n">
        <v>46182</v>
      </c>
      <c r="F8" s="19" t="n">
        <v>1320</v>
      </c>
      <c r="G8" s="16" t="s">
        <v>86</v>
      </c>
      <c r="H8" s="22" t="s">
        <v>97</v>
      </c>
      <c r="I8" s="16"/>
      <c r="J8" s="20" t="s">
        <v>102</v>
      </c>
    </row>
    <row r="9" customFormat="false" ht="19.5" hidden="false" customHeight="true" outlineLevel="0" collapsed="false">
      <c r="A9" s="36" t="s">
        <v>103</v>
      </c>
      <c r="B9" s="37" t="s">
        <v>104</v>
      </c>
      <c r="C9" s="38" t="s">
        <v>105</v>
      </c>
      <c r="D9" s="39" t="s">
        <v>106</v>
      </c>
      <c r="E9" s="40" t="n">
        <v>46183</v>
      </c>
      <c r="F9" s="41" t="n">
        <v>1980</v>
      </c>
      <c r="G9" s="39" t="s">
        <v>107</v>
      </c>
      <c r="H9" s="23" t="s">
        <v>108</v>
      </c>
      <c r="I9" s="39"/>
      <c r="J9" s="42" t="s">
        <v>109</v>
      </c>
    </row>
    <row r="11" customFormat="false" ht="6" hidden="false" customHeight="true" outlineLevel="0" collapsed="false"/>
    <row r="12" customFormat="false" ht="21.75" hidden="false" customHeight="true" outlineLevel="0" collapsed="false">
      <c r="A12" s="43" t="s">
        <v>110</v>
      </c>
      <c r="B12" s="43"/>
      <c r="C12" s="44" t="s">
        <v>111</v>
      </c>
      <c r="D12" s="45" t="n">
        <f aca="false">COUNTA(A5:A9)</f>
        <v>5</v>
      </c>
      <c r="E12" s="44" t="s">
        <v>112</v>
      </c>
      <c r="F12" s="45" t="n">
        <f aca="false">COUNTIF(H5:H9,"Convertido")</f>
        <v>2</v>
      </c>
      <c r="G12" s="44" t="s">
        <v>113</v>
      </c>
      <c r="H12" s="45" t="n">
        <f aca="false">COUNTIF(H5:H9,"Em negociação")</f>
        <v>2</v>
      </c>
      <c r="I12" s="44" t="s">
        <v>114</v>
      </c>
      <c r="J12" s="46" t="n">
        <f aca="false">IFERROR(F12/D12,0)</f>
        <v>0.4</v>
      </c>
    </row>
  </sheetData>
  <mergeCells count="3">
    <mergeCell ref="A1:J1"/>
    <mergeCell ref="A2:J2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22"/>
    <col collapsed="false" customWidth="true" hidden="false" outlineLevel="0" max="5" min="5" style="0" width="6"/>
    <col collapsed="false" customWidth="true" hidden="false" outlineLevel="0" max="6" min="6" style="0" width="20"/>
    <col collapsed="false" customWidth="true" hidden="false" outlineLevel="0" max="8" min="7" style="0" width="22"/>
  </cols>
  <sheetData>
    <row r="1" customFormat="false" ht="36" hidden="false" customHeight="true" outlineLevel="0" collapsed="false">
      <c r="A1" s="47" t="s">
        <v>115</v>
      </c>
      <c r="B1" s="47"/>
      <c r="C1" s="47"/>
      <c r="D1" s="47"/>
      <c r="E1" s="47"/>
      <c r="F1" s="47"/>
      <c r="G1" s="47"/>
      <c r="H1" s="47"/>
    </row>
    <row r="2" customFormat="false" ht="19.5" hidden="false" customHeight="true" outlineLevel="0" collapsed="false">
      <c r="A2" s="2" t="s">
        <v>116</v>
      </c>
      <c r="B2" s="2"/>
      <c r="C2" s="2"/>
      <c r="D2" s="2"/>
      <c r="E2" s="2"/>
      <c r="F2" s="2"/>
      <c r="G2" s="2"/>
      <c r="H2" s="2"/>
    </row>
    <row r="3" customFormat="false" ht="9.75" hidden="false" customHeight="true" outlineLevel="0" collapsed="false"/>
    <row r="4" customFormat="false" ht="19.5" hidden="false" customHeight="true" outlineLevel="0" collapsed="false">
      <c r="A4" s="48" t="s">
        <v>117</v>
      </c>
      <c r="B4" s="48" t="s">
        <v>118</v>
      </c>
      <c r="C4" s="48" t="s">
        <v>119</v>
      </c>
      <c r="D4" s="48" t="s">
        <v>120</v>
      </c>
      <c r="F4" s="49" t="s">
        <v>121</v>
      </c>
      <c r="G4" s="49" t="s">
        <v>122</v>
      </c>
      <c r="H4" s="49" t="s">
        <v>123</v>
      </c>
    </row>
    <row r="5" customFormat="false" ht="19.5" hidden="false" customHeight="true" outlineLevel="0" collapsed="false">
      <c r="A5" s="48"/>
      <c r="B5" s="48"/>
      <c r="C5" s="48"/>
      <c r="D5" s="48"/>
      <c r="F5" s="49"/>
      <c r="G5" s="49"/>
      <c r="H5" s="49"/>
    </row>
    <row r="6" customFormat="false" ht="27.75" hidden="false" customHeight="true" outlineLevel="0" collapsed="false">
      <c r="A6" s="50" t="n">
        <f aca="false">COUNTA(Clientes!A5:A9)</f>
        <v>5</v>
      </c>
      <c r="B6" s="50" t="n">
        <f aca="false">COUNTA(Contratos!A5:A9)</f>
        <v>5</v>
      </c>
      <c r="C6" s="51" t="n">
        <f aca="false">SUM(Contratos!E5:E9)</f>
        <v>21900</v>
      </c>
      <c r="D6" s="51" t="n">
        <f aca="false">SUM(Contratos!L5:L9)</f>
        <v>657</v>
      </c>
      <c r="F6" s="52" t="n">
        <f aca="false">COUNTA(Leads!A5:A9)</f>
        <v>5</v>
      </c>
      <c r="G6" s="53" t="n">
        <f aca="false">IFERROR(Leads!F12/Leads!D12,0)</f>
        <v>0.4</v>
      </c>
      <c r="H6" s="54" t="n">
        <f aca="false">SUM(Clientes!J5:J9)</f>
        <v>1555.6</v>
      </c>
    </row>
    <row r="7" customFormat="false" ht="27.75" hidden="false" customHeight="true" outlineLevel="0" collapsed="false">
      <c r="A7" s="50"/>
      <c r="B7" s="50"/>
      <c r="C7" s="50"/>
      <c r="D7" s="50"/>
      <c r="F7" s="52"/>
      <c r="G7" s="52"/>
      <c r="H7" s="52"/>
    </row>
    <row r="8" customFormat="false" ht="27.75" hidden="false" customHeight="true" outlineLevel="0" collapsed="false">
      <c r="A8" s="50"/>
      <c r="B8" s="50"/>
      <c r="C8" s="50"/>
      <c r="D8" s="50"/>
      <c r="F8" s="52"/>
      <c r="G8" s="52"/>
      <c r="H8" s="52"/>
    </row>
    <row r="9" customFormat="false" ht="9.75" hidden="false" customHeight="true" outlineLevel="0" collapsed="false"/>
    <row r="10" customFormat="false" ht="9.75" hidden="false" customHeight="true" outlineLevel="0" collapsed="false"/>
    <row r="11" customFormat="false" ht="24" hidden="false" customHeight="true" outlineLevel="0" collapsed="false">
      <c r="A11" s="55" t="s">
        <v>124</v>
      </c>
      <c r="B11" s="55"/>
      <c r="C11" s="55"/>
      <c r="D11" s="55"/>
    </row>
    <row r="12" customFormat="false" ht="21.75" hidden="false" customHeight="true" outlineLevel="0" collapsed="false">
      <c r="A12" s="3" t="s">
        <v>125</v>
      </c>
      <c r="B12" s="3" t="s">
        <v>126</v>
      </c>
      <c r="C12" s="3" t="s">
        <v>11</v>
      </c>
      <c r="D12" s="3" t="s">
        <v>127</v>
      </c>
    </row>
    <row r="13" customFormat="false" ht="19.5" hidden="false" customHeight="true" outlineLevel="0" collapsed="false">
      <c r="A13" s="56" t="str">
        <f aca="false">IF(Clientes!J5&gt;300,Clientes!B5,"")</f>
        <v/>
      </c>
      <c r="B13" s="57" t="str">
        <f aca="false">IF(Clientes!J5&gt;300,Clientes!G5,"")</f>
        <v/>
      </c>
      <c r="C13" s="58" t="str">
        <f aca="false">IF(Clientes!J5&gt;300,Clientes!J5,"")</f>
        <v/>
      </c>
      <c r="D13" s="56" t="str">
        <f aca="false">IF(Clientes!J5&gt;300,"Novo contrato disponível","")</f>
        <v/>
      </c>
    </row>
    <row r="14" customFormat="false" ht="19.5" hidden="false" customHeight="true" outlineLevel="0" collapsed="false">
      <c r="A14" s="18" t="str">
        <f aca="false">IF(Clientes!J6&gt;300,Clientes!B6,"")</f>
        <v/>
      </c>
      <c r="B14" s="59" t="str">
        <f aca="false">IF(Clientes!J6&gt;300,Clientes!G6,"")</f>
        <v/>
      </c>
      <c r="C14" s="60" t="str">
        <f aca="false">IF(Clientes!J6&gt;300,Clientes!J6,"")</f>
        <v/>
      </c>
      <c r="D14" s="18" t="str">
        <f aca="false">IF(Clientes!J6&gt;300,"Novo contrato disponível","")</f>
        <v/>
      </c>
    </row>
    <row r="15" customFormat="false" ht="19.5" hidden="false" customHeight="true" outlineLevel="0" collapsed="false">
      <c r="A15" s="56" t="str">
        <f aca="false">IF(Clientes!J7&gt;300,Clientes!B7,"")</f>
        <v>Antonia Ferreira Mendes</v>
      </c>
      <c r="B15" s="57" t="n">
        <f aca="false">IF(Clientes!J7&gt;300,Clientes!G7,"")</f>
        <v>2118</v>
      </c>
      <c r="C15" s="58" t="n">
        <f aca="false">IF(Clientes!J7&gt;300,Clientes!J7,"")</f>
        <v>847.2</v>
      </c>
      <c r="D15" s="56" t="str">
        <f aca="false">IF(Clientes!J7&gt;300,"Margem virgem — prioridade máxima","")</f>
        <v>Margem virgem — prioridade máxima</v>
      </c>
    </row>
    <row r="16" customFormat="false" ht="19.5" hidden="false" customHeight="true" outlineLevel="0" collapsed="false">
      <c r="A16" s="18" t="str">
        <f aca="false">IF(Clientes!J8&gt;300,Clientes!B8,"")</f>
        <v/>
      </c>
      <c r="B16" s="59" t="str">
        <f aca="false">IF(Clientes!J8&gt;300,Clientes!G8,"")</f>
        <v/>
      </c>
      <c r="C16" s="60" t="str">
        <f aca="false">IF(Clientes!J8&gt;300,Clientes!J8,"")</f>
        <v/>
      </c>
      <c r="D16" s="18" t="str">
        <f aca="false">IF(Clientes!J8&gt;300,"Verificar portabilidade","")</f>
        <v/>
      </c>
    </row>
    <row r="17" customFormat="false" ht="19.5" hidden="false" customHeight="true" outlineLevel="0" collapsed="false">
      <c r="A17" s="56" t="str">
        <f aca="false">IF(Clientes!J9&gt;300,Clientes!B9,"")</f>
        <v>Raimunda Alves Costa</v>
      </c>
      <c r="B17" s="57" t="n">
        <f aca="false">IF(Clientes!J9&gt;300,Clientes!G9,"")</f>
        <v>1980</v>
      </c>
      <c r="C17" s="58" t="n">
        <f aca="false">IF(Clientes!J9&gt;300,Clientes!J9,"")</f>
        <v>342</v>
      </c>
      <c r="D17" s="56" t="str">
        <f aca="false">IF(Clientes!J9&gt;300,"Novo contrato disponível","")</f>
        <v>Novo contrato disponível</v>
      </c>
    </row>
    <row r="19" customFormat="false" ht="9.75" hidden="false" customHeight="true" outlineLevel="0" collapsed="false"/>
    <row r="20" customFormat="false" ht="24" hidden="false" customHeight="true" outlineLevel="0" collapsed="false">
      <c r="A20" s="61" t="s">
        <v>128</v>
      </c>
      <c r="B20" s="61"/>
      <c r="C20" s="61"/>
      <c r="D20" s="61"/>
    </row>
    <row r="21" customFormat="false" ht="21.75" hidden="false" customHeight="true" outlineLevel="0" collapsed="false">
      <c r="A21" s="3" t="s">
        <v>129</v>
      </c>
      <c r="B21" s="3" t="s">
        <v>130</v>
      </c>
      <c r="C21" s="3" t="s">
        <v>112</v>
      </c>
      <c r="D21" s="3" t="s">
        <v>114</v>
      </c>
    </row>
    <row r="22" customFormat="false" ht="19.5" hidden="false" customHeight="true" outlineLevel="0" collapsed="false">
      <c r="A22" s="62" t="s">
        <v>21</v>
      </c>
      <c r="B22" s="16" t="n">
        <f aca="false">COUNTIF(Leads!D5:D9,A22)</f>
        <v>1</v>
      </c>
      <c r="C22" s="16" t="n">
        <f aca="false">SUMPRODUCT((Leads!D5:D9=A22)*(Leads!H5:H9="Convertido"))</f>
        <v>1</v>
      </c>
      <c r="D22" s="63" t="n">
        <f aca="false">IFERROR(C22/B22,0)</f>
        <v>1</v>
      </c>
    </row>
    <row r="23" customFormat="false" ht="19.5" hidden="false" customHeight="true" outlineLevel="0" collapsed="false">
      <c r="A23" s="64" t="s">
        <v>27</v>
      </c>
      <c r="B23" s="6" t="n">
        <f aca="false">COUNTIF(Leads!D5:D9,A23)</f>
        <v>1</v>
      </c>
      <c r="C23" s="6" t="n">
        <f aca="false">SUMPRODUCT((Leads!D5:D9=A23)*(Leads!H5:H9="Convertido"))</f>
        <v>1</v>
      </c>
      <c r="D23" s="65" t="n">
        <f aca="false">IFERROR(C23/B23,0)</f>
        <v>1</v>
      </c>
    </row>
    <row r="24" customFormat="false" ht="19.5" hidden="false" customHeight="true" outlineLevel="0" collapsed="false">
      <c r="A24" s="62" t="s">
        <v>34</v>
      </c>
      <c r="B24" s="16" t="n">
        <f aca="false">COUNTIF(Leads!D5:D9,A24)</f>
        <v>1</v>
      </c>
      <c r="C24" s="16" t="n">
        <f aca="false">SUMPRODUCT((Leads!D5:D9=A24)*(Leads!H5:H9="Convertido"))</f>
        <v>0</v>
      </c>
      <c r="D24" s="63" t="n">
        <f aca="false">IFERROR(C24/B24,0)</f>
        <v>0</v>
      </c>
    </row>
    <row r="25" customFormat="false" ht="19.5" hidden="false" customHeight="true" outlineLevel="0" collapsed="false">
      <c r="A25" s="64" t="s">
        <v>41</v>
      </c>
      <c r="B25" s="6" t="n">
        <f aca="false">COUNTIF(Leads!D5:D9,A25)</f>
        <v>1</v>
      </c>
      <c r="C25" s="6" t="n">
        <f aca="false">SUMPRODUCT((Leads!D5:D9=A25)*(Leads!H5:H9="Convertido"))</f>
        <v>0</v>
      </c>
      <c r="D25" s="65" t="n">
        <f aca="false">IFERROR(C25/B25,0)</f>
        <v>0</v>
      </c>
    </row>
    <row r="26" customFormat="false" ht="19.5" hidden="false" customHeight="true" outlineLevel="0" collapsed="false">
      <c r="A26" s="62" t="s">
        <v>106</v>
      </c>
      <c r="B26" s="16" t="n">
        <f aca="false">COUNTIF(Leads!D5:D9,A26)</f>
        <v>1</v>
      </c>
      <c r="C26" s="16" t="n">
        <f aca="false">SUMPRODUCT((Leads!D5:D9=A26)*(Leads!H5:H9="Convertido"))</f>
        <v>0</v>
      </c>
      <c r="D26" s="63" t="n">
        <f aca="false">IFERROR(C26/B26,0)</f>
        <v>0</v>
      </c>
    </row>
    <row r="27" customFormat="false" ht="19.5" hidden="false" customHeight="true" outlineLevel="0" collapsed="false">
      <c r="A27" s="64" t="s">
        <v>47</v>
      </c>
      <c r="B27" s="6" t="n">
        <f aca="false">COUNTIF(Leads!D5:D9,A27)</f>
        <v>0</v>
      </c>
      <c r="C27" s="6" t="n">
        <f aca="false">SUMPRODUCT((Leads!D5:D9=A27)*(Leads!H5:H9="Convertido"))</f>
        <v>0</v>
      </c>
      <c r="D27" s="65" t="n">
        <f aca="false">IFERROR(C27/B27,0)</f>
        <v>0</v>
      </c>
    </row>
    <row r="29" customFormat="false" ht="19.5" hidden="false" customHeight="true" outlineLevel="0" collapsed="false">
      <c r="A29" s="66" t="s">
        <v>131</v>
      </c>
      <c r="B29" s="66"/>
      <c r="C29" s="66"/>
      <c r="D29" s="66"/>
      <c r="E29" s="66"/>
      <c r="F29" s="66"/>
      <c r="G29" s="66"/>
      <c r="H29" s="66"/>
    </row>
  </sheetData>
  <mergeCells count="19">
    <mergeCell ref="A1:H1"/>
    <mergeCell ref="A2:H2"/>
    <mergeCell ref="A4:A5"/>
    <mergeCell ref="B4:B5"/>
    <mergeCell ref="C4:C5"/>
    <mergeCell ref="D4:D5"/>
    <mergeCell ref="F4:F5"/>
    <mergeCell ref="G4:G5"/>
    <mergeCell ref="H4:H5"/>
    <mergeCell ref="A6:A8"/>
    <mergeCell ref="B6:B8"/>
    <mergeCell ref="C6:C8"/>
    <mergeCell ref="D6:D8"/>
    <mergeCell ref="F6:F8"/>
    <mergeCell ref="G6:G8"/>
    <mergeCell ref="H6:H8"/>
    <mergeCell ref="A11:D11"/>
    <mergeCell ref="A20:D20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2026-06-11T12:58:30Z</dcterms:created>
  <dc:creator>openpyxl</dc:creator>
  <dc:description/>
  <dc:language>en-US</dc:language>
  <cp:lastModifiedBy/>
  <dcterms:modified xsi:type="dcterms:W3CDTF">2026-06-11T12:58:30Z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